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s" sheetId="1" state="visible" r:id="rId3"/>
    <sheet name="CUPS_Validos" sheetId="2" state="visible" r:id="rId4"/>
    <sheet name="Leyen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<sst xmlns="http://schemas.openxmlformats.org/spreadsheetml/2006/main" count="398" uniqueCount="191">
  <si>
    <t xml:space="preserve">N_Factura</t>
  </si>
  <si>
    <t xml:space="preserve">Fecha_Servicio</t>
  </si>
  <si>
    <t xml:space="preserve">Fecha_Expedicion_Factura</t>
  </si>
  <si>
    <t xml:space="preserve">Fecha_Radicacion_Soportes</t>
  </si>
  <si>
    <t xml:space="preserve">Codigo_CUPS</t>
  </si>
  <si>
    <t xml:space="preserve">Diagnostico_CIE10</t>
  </si>
  <si>
    <t xml:space="preserve">Descripcion_Servicio</t>
  </si>
  <si>
    <t xml:space="preserve">Tiene_Soporte</t>
  </si>
  <si>
    <t xml:space="preserve">Tiene_Autorizacion</t>
  </si>
  <si>
    <t xml:space="preserve">N_Autorizacion</t>
  </si>
  <si>
    <t xml:space="preserve">Manual_Tarifario</t>
  </si>
  <si>
    <t xml:space="preserve">Valor_Tarifario_Referencia</t>
  </si>
  <si>
    <t xml:space="preserve">Valor_Unitario</t>
  </si>
  <si>
    <t xml:space="preserve">Cantidad</t>
  </si>
  <si>
    <t xml:space="preserve">Valor_Total_Registrado</t>
  </si>
  <si>
    <t xml:space="preserve">Valor_Total_Calculado</t>
  </si>
  <si>
    <t xml:space="preserve">Diferencia</t>
  </si>
  <si>
    <t xml:space="preserve">Glosa_Aplicada</t>
  </si>
  <si>
    <t xml:space="preserve">FAC-1001</t>
  </si>
  <si>
    <t xml:space="preserve">2026-02-10</t>
  </si>
  <si>
    <t xml:space="preserve">2026-02-12</t>
  </si>
  <si>
    <t xml:space="preserve">2026-02-17</t>
  </si>
  <si>
    <t xml:space="preserve">391102</t>
  </si>
  <si>
    <t xml:space="preserve">R51X</t>
  </si>
  <si>
    <t xml:space="preserve">Electrocardiograma</t>
  </si>
  <si>
    <t xml:space="preserve">No</t>
  </si>
  <si>
    <t xml:space="preserve">Si</t>
  </si>
  <si>
    <t xml:space="preserve">AUT-5001</t>
  </si>
  <si>
    <t xml:space="preserve">Particular</t>
  </si>
  <si>
    <t xml:space="preserve">Falta soporte</t>
  </si>
  <si>
    <t xml:space="preserve">FAC-1002</t>
  </si>
  <si>
    <t xml:space="preserve">2026-02-23</t>
  </si>
  <si>
    <t xml:space="preserve">2026-02-26</t>
  </si>
  <si>
    <t xml:space="preserve">881301</t>
  </si>
  <si>
    <t xml:space="preserve">K297</t>
  </si>
  <si>
    <t xml:space="preserve">Ecografia abdominal</t>
  </si>
  <si>
    <t xml:space="preserve">AUT-5002</t>
  </si>
  <si>
    <t xml:space="preserve">SOAT</t>
  </si>
  <si>
    <t xml:space="preserve">FAC-1003</t>
  </si>
  <si>
    <t xml:space="preserve">2026-09-16</t>
  </si>
  <si>
    <t xml:space="preserve">2026-09-19</t>
  </si>
  <si>
    <t xml:space="preserve">2026-09-28</t>
  </si>
  <si>
    <t xml:space="preserve">620102</t>
  </si>
  <si>
    <t xml:space="preserve">N390</t>
  </si>
  <si>
    <t xml:space="preserve">Terapia fisica sesion</t>
  </si>
  <si>
    <t xml:space="preserve">AUT-5003</t>
  </si>
  <si>
    <t xml:space="preserve">FAC-1004</t>
  </si>
  <si>
    <t xml:space="preserve">2026-03-23</t>
  </si>
  <si>
    <t xml:space="preserve">2026-03-25</t>
  </si>
  <si>
    <t xml:space="preserve">2026-03-29</t>
  </si>
  <si>
    <t xml:space="preserve">890201</t>
  </si>
  <si>
    <t xml:space="preserve">J069</t>
  </si>
  <si>
    <t xml:space="preserve">Consulta medicina general</t>
  </si>
  <si>
    <t xml:space="preserve">ISS2001</t>
  </si>
  <si>
    <t xml:space="preserve">Sin autorizacion</t>
  </si>
  <si>
    <t xml:space="preserve">FAC-1005</t>
  </si>
  <si>
    <t xml:space="preserve">2026-02-21</t>
  </si>
  <si>
    <t xml:space="preserve">2026-03-01</t>
  </si>
  <si>
    <t xml:space="preserve">AUT-5005</t>
  </si>
  <si>
    <t xml:space="preserve">FAC-1006</t>
  </si>
  <si>
    <t xml:space="preserve">2026-09-21</t>
  </si>
  <si>
    <t xml:space="preserve">2026-09-26</t>
  </si>
  <si>
    <t xml:space="preserve">AUT-5006</t>
  </si>
  <si>
    <t xml:space="preserve">FAC-1007</t>
  </si>
  <si>
    <t xml:space="preserve">890301</t>
  </si>
  <si>
    <t xml:space="preserve">E119</t>
  </si>
  <si>
    <t xml:space="preserve">Consulta medicina especializada</t>
  </si>
  <si>
    <t xml:space="preserve">AUT-5007</t>
  </si>
  <si>
    <t xml:space="preserve">FAC-1008</t>
  </si>
  <si>
    <t xml:space="preserve">2026-05-12</t>
  </si>
  <si>
    <t xml:space="preserve">2026-05-13</t>
  </si>
  <si>
    <t xml:space="preserve">2026-06-15</t>
  </si>
  <si>
    <t xml:space="preserve">903841</t>
  </si>
  <si>
    <t xml:space="preserve">M545</t>
  </si>
  <si>
    <t xml:space="preserve">Radiografia de torax</t>
  </si>
  <si>
    <t xml:space="preserve">AUT-5008</t>
  </si>
  <si>
    <t xml:space="preserve">FAC-1009</t>
  </si>
  <si>
    <t xml:space="preserve">2026-09-17</t>
  </si>
  <si>
    <t xml:space="preserve">2026-09-24</t>
  </si>
  <si>
    <t xml:space="preserve">AUT-5009</t>
  </si>
  <si>
    <t xml:space="preserve">FAC-1010</t>
  </si>
  <si>
    <t xml:space="preserve">2026-04-20</t>
  </si>
  <si>
    <t xml:space="preserve">2026-04-21</t>
  </si>
  <si>
    <t xml:space="preserve">2026-04-29</t>
  </si>
  <si>
    <t xml:space="preserve">AUT-5010</t>
  </si>
  <si>
    <t xml:space="preserve">FAC-1011</t>
  </si>
  <si>
    <t xml:space="preserve">2026-04-18</t>
  </si>
  <si>
    <t xml:space="preserve">AUT-5011</t>
  </si>
  <si>
    <t xml:space="preserve">FAC-1012</t>
  </si>
  <si>
    <t xml:space="preserve">2026-01-13</t>
  </si>
  <si>
    <t xml:space="preserve">2026-01-14</t>
  </si>
  <si>
    <t xml:space="preserve">2026-01-28</t>
  </si>
  <si>
    <t xml:space="preserve">AUT-5012</t>
  </si>
  <si>
    <t xml:space="preserve">FAC-1013</t>
  </si>
  <si>
    <t xml:space="preserve">2026-07-24</t>
  </si>
  <si>
    <t xml:space="preserve">2026-07-26</t>
  </si>
  <si>
    <t xml:space="preserve">2026-08-28</t>
  </si>
  <si>
    <t xml:space="preserve">AUT-5013</t>
  </si>
  <si>
    <t xml:space="preserve">FAC-1014</t>
  </si>
  <si>
    <t xml:space="preserve">2026-06-13</t>
  </si>
  <si>
    <t xml:space="preserve">2026-06-19</t>
  </si>
  <si>
    <t xml:space="preserve">AUT-5014</t>
  </si>
  <si>
    <t xml:space="preserve">FAC-1015</t>
  </si>
  <si>
    <t xml:space="preserve">2026-03-13</t>
  </si>
  <si>
    <t xml:space="preserve">2026-03-15</t>
  </si>
  <si>
    <t xml:space="preserve">2026-04-17</t>
  </si>
  <si>
    <t xml:space="preserve">902210</t>
  </si>
  <si>
    <t xml:space="preserve">Hemograma completo</t>
  </si>
  <si>
    <t xml:space="preserve">AUT-5015</t>
  </si>
  <si>
    <t xml:space="preserve">FAC-1016</t>
  </si>
  <si>
    <t xml:space="preserve">2026-09-10</t>
  </si>
  <si>
    <t xml:space="preserve">2026-09-12</t>
  </si>
  <si>
    <t xml:space="preserve">2026-09-14</t>
  </si>
  <si>
    <t xml:space="preserve">AUT-5016</t>
  </si>
  <si>
    <t xml:space="preserve">FAC-1017</t>
  </si>
  <si>
    <t xml:space="preserve">2026-04-11</t>
  </si>
  <si>
    <t xml:space="preserve">2026-04-12</t>
  </si>
  <si>
    <t xml:space="preserve">2026-04-15</t>
  </si>
  <si>
    <t xml:space="preserve">AUT-5017</t>
  </si>
  <si>
    <t xml:space="preserve">FAC-1018</t>
  </si>
  <si>
    <t xml:space="preserve">2026-03-26</t>
  </si>
  <si>
    <t xml:space="preserve">2026-04-05</t>
  </si>
  <si>
    <t xml:space="preserve">FAC-1019</t>
  </si>
  <si>
    <t xml:space="preserve">2026-04-19</t>
  </si>
  <si>
    <t xml:space="preserve">2026-04-22</t>
  </si>
  <si>
    <t xml:space="preserve">2026-05-01</t>
  </si>
  <si>
    <t xml:space="preserve">999999</t>
  </si>
  <si>
    <t xml:space="preserve">I10X</t>
  </si>
  <si>
    <t xml:space="preserve">Procedimiento sin codigo valido</t>
  </si>
  <si>
    <t xml:space="preserve">AUT-5019</t>
  </si>
  <si>
    <t xml:space="preserve">FAC-1020</t>
  </si>
  <si>
    <t xml:space="preserve">2026-02-20</t>
  </si>
  <si>
    <t xml:space="preserve">2026-03-02</t>
  </si>
  <si>
    <t xml:space="preserve">AUT-5020</t>
  </si>
  <si>
    <t xml:space="preserve">FAC-1021</t>
  </si>
  <si>
    <t xml:space="preserve">2026-01-17</t>
  </si>
  <si>
    <t xml:space="preserve">2026-02-01</t>
  </si>
  <si>
    <t xml:space="preserve">AUT-5021</t>
  </si>
  <si>
    <t xml:space="preserve">FAC-1022</t>
  </si>
  <si>
    <t xml:space="preserve">2026-08-16</t>
  </si>
  <si>
    <t xml:space="preserve">2026-08-17</t>
  </si>
  <si>
    <t xml:space="preserve">AUT-5022</t>
  </si>
  <si>
    <t xml:space="preserve">FAC-1023</t>
  </si>
  <si>
    <t xml:space="preserve">2026-02-13</t>
  </si>
  <si>
    <t xml:space="preserve">2026-02-16</t>
  </si>
  <si>
    <t xml:space="preserve">2026-02-24</t>
  </si>
  <si>
    <t xml:space="preserve">AUT-5023</t>
  </si>
  <si>
    <t xml:space="preserve">FAC-1024</t>
  </si>
  <si>
    <t xml:space="preserve">2026-02-11</t>
  </si>
  <si>
    <t xml:space="preserve">2026-02-14</t>
  </si>
  <si>
    <t xml:space="preserve">2026-02-28</t>
  </si>
  <si>
    <t xml:space="preserve">AUT-5024</t>
  </si>
  <si>
    <t xml:space="preserve">FAC-1025</t>
  </si>
  <si>
    <t xml:space="preserve">2026-08-14</t>
  </si>
  <si>
    <t xml:space="preserve">2026-08-23</t>
  </si>
  <si>
    <t xml:space="preserve">AUT-5025</t>
  </si>
  <si>
    <t xml:space="preserve">FAC-1026</t>
  </si>
  <si>
    <t xml:space="preserve">2026-09-13</t>
  </si>
  <si>
    <t xml:space="preserve">2026-10-16</t>
  </si>
  <si>
    <t xml:space="preserve">AUT-5026</t>
  </si>
  <si>
    <t xml:space="preserve">FAC-1027</t>
  </si>
  <si>
    <t xml:space="preserve">2026-03-31</t>
  </si>
  <si>
    <t xml:space="preserve">AUT-5027</t>
  </si>
  <si>
    <t xml:space="preserve">FAC-1028</t>
  </si>
  <si>
    <t xml:space="preserve">2026-07-18</t>
  </si>
  <si>
    <t xml:space="preserve">2026-07-21</t>
  </si>
  <si>
    <t xml:space="preserve">2026-07-29</t>
  </si>
  <si>
    <t xml:space="preserve">FAC-1029</t>
  </si>
  <si>
    <t xml:space="preserve">2026-03-16</t>
  </si>
  <si>
    <t xml:space="preserve">2026-03-18</t>
  </si>
  <si>
    <t xml:space="preserve">2026-03-20</t>
  </si>
  <si>
    <t xml:space="preserve">AUT-5029</t>
  </si>
  <si>
    <t xml:space="preserve">FAC-1030</t>
  </si>
  <si>
    <t xml:space="preserve">2026-01-11</t>
  </si>
  <si>
    <t xml:space="preserve">AUT-5030</t>
  </si>
  <si>
    <t xml:space="preserve">Descripcion</t>
  </si>
  <si>
    <t xml:space="preserve">SaludAudita - Dataset simulado (v2)</t>
  </si>
  <si>
    <t xml:space="preserve">Todos los datos de este archivo son 100% ficticios, generados para pruebas</t>
  </si>
  <si>
    <t xml:space="preserve">y portafolio. No contienen informacion real de pacientes, IPS ni EPS.</t>
  </si>
  <si>
    <t xml:space="preserve">Columnas nuevas en v2 (basadas en la Resolucion 2284 de 2023, Manual Unico</t>
  </si>
  <si>
    <t xml:space="preserve">de Devoluciones, Glosas y Respuestas):</t>
  </si>
  <si>
    <t xml:space="preserve">  - Fecha_Expedicion_Factura / Fecha_Radicacion_Soportes: para validar la</t>
  </si>
  <si>
    <t xml:space="preserve">    causal taxativa de devolucion por radicacion fuera de 22 dias habiles.</t>
  </si>
  <si>
    <t xml:space="preserve">  - Diagnostico_CIE10: codigos ilustrativos, NO validados contra la tabla</t>
  </si>
  <si>
    <t xml:space="preserve">    oficial CIE10 (son simulados para efectos de este portafolio).</t>
  </si>
  <si>
    <t xml:space="preserve">  - Manual_Tarifario / Valor_Tarifario_Referencia: valores de referencia</t>
  </si>
  <si>
    <t xml:space="preserve">    simulados (SOAT / ISS2001 / Particular), NO son tarifas oficiales</t>
  </si>
  <si>
    <t xml:space="preserve">    reales, solo sirven para probar la regla de descuadre tarifario.</t>
  </si>
  <si>
    <t xml:space="preserve">Las columnas Valor_Total_Calculado y Diferencia son formulas (no valores fijos):</t>
  </si>
  <si>
    <t xml:space="preserve">  Valor_Total_Calculado = Valor_Unitario x Cantidad</t>
  </si>
  <si>
    <t xml:space="preserve">  Diferencia = Valor_Total_Registrado - Valor_Total_Calculado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</si>
</sst>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6" min="15" style="0" width="18"/>
    <col collapsed="false" customWidth="true" hidden="false" outlineLevel="0" max="17" min="17" style="0" width="12"/>
    <col collapsed="false" customWidth="true" hidden="false" outlineLevel="0" max="18" min="18" style="0" width="1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n">
        <v>40000</v>
      </c>
      <c r="M2" s="2" t="n">
        <v>40000</v>
      </c>
      <c r="N2" s="2" t="n">
        <v>1</v>
      </c>
      <c r="O2" s="2" t="n">
        <v>40000</v>
      </c>
      <c r="P2" s="2" t="n">
        <f aca="false">M2*N2</f>
        <v>40000</v>
      </c>
      <c r="Q2" s="2" t="n">
        <f aca="false">O2-P2</f>
        <v>0</v>
      </c>
      <c r="R2" s="2" t="s">
        <v>29</v>
      </c>
    </row>
    <row r="3" customFormat="false" ht="15" hidden="false" customHeight="false" outlineLevel="0" collapsed="false">
      <c r="A3" s="2" t="s">
        <v>30</v>
      </c>
      <c r="B3" s="2" t="s">
        <v>31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26</v>
      </c>
      <c r="I3" s="2" t="s">
        <v>26</v>
      </c>
      <c r="J3" s="2" t="s">
        <v>36</v>
      </c>
      <c r="K3" s="2" t="s">
        <v>37</v>
      </c>
      <c r="L3" s="2" t="n">
        <v>40000</v>
      </c>
      <c r="M3" s="2" t="n">
        <v>40000</v>
      </c>
      <c r="N3" s="2" t="n">
        <v>1</v>
      </c>
      <c r="O3" s="2" t="n">
        <v>40000</v>
      </c>
      <c r="P3" s="2" t="n">
        <f aca="false">M3*N3</f>
        <v>40000</v>
      </c>
      <c r="Q3" s="2" t="n">
        <f aca="false">O3-P3</f>
        <v>0</v>
      </c>
      <c r="R3" s="2"/>
    </row>
    <row r="4" customFormat="false" ht="15" hidden="false" customHeight="false" outlineLevel="0" collapsed="false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25</v>
      </c>
      <c r="I4" s="2" t="s">
        <v>26</v>
      </c>
      <c r="J4" s="2" t="s">
        <v>45</v>
      </c>
      <c r="K4" s="2" t="s">
        <v>37</v>
      </c>
      <c r="L4" s="2" t="n">
        <v>120000</v>
      </c>
      <c r="M4" s="2" t="n">
        <v>120000</v>
      </c>
      <c r="N4" s="2" t="n">
        <v>1</v>
      </c>
      <c r="O4" s="2" t="n">
        <v>120000</v>
      </c>
      <c r="P4" s="2" t="n">
        <f aca="false">M4*N4</f>
        <v>120000</v>
      </c>
      <c r="Q4" s="2" t="n">
        <f aca="false">O4-P4</f>
        <v>0</v>
      </c>
      <c r="R4" s="2" t="s">
        <v>29</v>
      </c>
    </row>
    <row r="5" customFormat="false" ht="15" hidden="false" customHeight="false" outlineLevel="0" collapsed="false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26</v>
      </c>
      <c r="I5" s="2" t="s">
        <v>25</v>
      </c>
      <c r="J5" s="2"/>
      <c r="K5" s="2" t="s">
        <v>53</v>
      </c>
      <c r="L5" s="2" t="n">
        <v>40000</v>
      </c>
      <c r="M5" s="2" t="n">
        <v>40000</v>
      </c>
      <c r="N5" s="2" t="n">
        <v>1</v>
      </c>
      <c r="O5" s="2" t="n">
        <v>40000</v>
      </c>
      <c r="P5" s="2" t="n">
        <f aca="false">M5*N5</f>
        <v>40000</v>
      </c>
      <c r="Q5" s="2" t="n">
        <f aca="false">O5-P5</f>
        <v>0</v>
      </c>
      <c r="R5" s="2" t="s">
        <v>54</v>
      </c>
    </row>
    <row r="6" customFormat="false" ht="15" hidden="false" customHeight="false" outlineLevel="0" collapsed="false">
      <c r="A6" s="2" t="s">
        <v>55</v>
      </c>
      <c r="B6" s="2" t="s">
        <v>56</v>
      </c>
      <c r="C6" s="2" t="s">
        <v>31</v>
      </c>
      <c r="D6" s="2" t="s">
        <v>57</v>
      </c>
      <c r="E6" s="2" t="s">
        <v>33</v>
      </c>
      <c r="F6" s="2" t="s">
        <v>51</v>
      </c>
      <c r="G6" s="2" t="s">
        <v>35</v>
      </c>
      <c r="H6" s="2" t="s">
        <v>26</v>
      </c>
      <c r="I6" s="2" t="s">
        <v>26</v>
      </c>
      <c r="J6" s="2" t="s">
        <v>58</v>
      </c>
      <c r="K6" s="2" t="s">
        <v>53</v>
      </c>
      <c r="L6" s="2" t="n">
        <v>55000</v>
      </c>
      <c r="M6" s="2" t="n">
        <v>25000</v>
      </c>
      <c r="N6" s="2" t="n">
        <v>2</v>
      </c>
      <c r="O6" s="2" t="n">
        <v>50000</v>
      </c>
      <c r="P6" s="2" t="n">
        <f aca="false">M6*N6</f>
        <v>50000</v>
      </c>
      <c r="Q6" s="2" t="n">
        <f aca="false">O6-P6</f>
        <v>0</v>
      </c>
      <c r="R6" s="2" t="s">
        <v>29</v>
      </c>
    </row>
    <row r="7" customFormat="false" ht="15" hidden="false" customHeight="false" outlineLevel="0" collapsed="false">
      <c r="A7" s="2" t="s">
        <v>55</v>
      </c>
      <c r="B7" s="2" t="s">
        <v>56</v>
      </c>
      <c r="C7" s="2" t="s">
        <v>31</v>
      </c>
      <c r="D7" s="2" t="s">
        <v>57</v>
      </c>
      <c r="E7" s="2" t="s">
        <v>33</v>
      </c>
      <c r="F7" s="2" t="s">
        <v>51</v>
      </c>
      <c r="G7" s="2" t="s">
        <v>35</v>
      </c>
      <c r="H7" s="2" t="s">
        <v>26</v>
      </c>
      <c r="I7" s="2" t="s">
        <v>26</v>
      </c>
      <c r="J7" s="2" t="s">
        <v>58</v>
      </c>
      <c r="K7" s="2" t="s">
        <v>53</v>
      </c>
      <c r="L7" s="2" t="n">
        <v>55000</v>
      </c>
      <c r="M7" s="2" t="n">
        <v>25000</v>
      </c>
      <c r="N7" s="2" t="n">
        <v>2</v>
      </c>
      <c r="O7" s="2" t="n">
        <v>50000</v>
      </c>
      <c r="P7" s="2" t="n">
        <f aca="false">M7*N7</f>
        <v>50000</v>
      </c>
      <c r="Q7" s="2" t="n">
        <f aca="false">O7-P7</f>
        <v>0</v>
      </c>
      <c r="R7" s="2" t="s">
        <v>29</v>
      </c>
    </row>
    <row r="8" customFormat="false" ht="15" hidden="false" customHeight="false" outlineLevel="0" collapsed="false">
      <c r="A8" s="2" t="s">
        <v>59</v>
      </c>
      <c r="B8" s="2" t="s">
        <v>40</v>
      </c>
      <c r="C8" s="2" t="s">
        <v>60</v>
      </c>
      <c r="D8" s="2" t="s">
        <v>61</v>
      </c>
      <c r="E8" s="2" t="s">
        <v>50</v>
      </c>
      <c r="F8" s="2" t="s">
        <v>23</v>
      </c>
      <c r="G8" s="2" t="s">
        <v>52</v>
      </c>
      <c r="H8" s="2" t="s">
        <v>26</v>
      </c>
      <c r="I8" s="2" t="s">
        <v>26</v>
      </c>
      <c r="J8" s="2" t="s">
        <v>62</v>
      </c>
      <c r="K8" s="2" t="s">
        <v>37</v>
      </c>
      <c r="L8" s="2" t="n">
        <v>125000</v>
      </c>
      <c r="M8" s="2" t="n">
        <v>150000</v>
      </c>
      <c r="N8" s="2" t="n">
        <v>1</v>
      </c>
      <c r="O8" s="2" t="n">
        <v>150000</v>
      </c>
      <c r="P8" s="2" t="n">
        <f aca="false">M8*N8</f>
        <v>150000</v>
      </c>
      <c r="Q8" s="2" t="n">
        <f aca="false">O8-P8</f>
        <v>0</v>
      </c>
      <c r="R8" s="2"/>
    </row>
    <row r="9" customFormat="false" ht="15" hidden="false" customHeight="false" outlineLevel="0" collapsed="false">
      <c r="A9" s="2" t="s">
        <v>63</v>
      </c>
      <c r="B9" s="2" t="s">
        <v>21</v>
      </c>
      <c r="C9" s="2" t="s">
        <v>21</v>
      </c>
      <c r="D9" s="2" t="s">
        <v>31</v>
      </c>
      <c r="E9" s="2" t="s">
        <v>64</v>
      </c>
      <c r="F9" s="2" t="s">
        <v>65</v>
      </c>
      <c r="G9" s="2" t="s">
        <v>66</v>
      </c>
      <c r="H9" s="2" t="s">
        <v>26</v>
      </c>
      <c r="I9" s="2" t="s">
        <v>26</v>
      </c>
      <c r="J9" s="2" t="s">
        <v>67</v>
      </c>
      <c r="K9" s="2" t="s">
        <v>53</v>
      </c>
      <c r="L9" s="2" t="n">
        <v>85000</v>
      </c>
      <c r="M9" s="2" t="n">
        <v>85000</v>
      </c>
      <c r="N9" s="2" t="n">
        <v>1</v>
      </c>
      <c r="O9" s="2" t="n">
        <v>95000</v>
      </c>
      <c r="P9" s="2" t="n">
        <f aca="false">M9*N9</f>
        <v>85000</v>
      </c>
      <c r="Q9" s="2" t="n">
        <f aca="false">O9-P9</f>
        <v>10000</v>
      </c>
      <c r="R9" s="2"/>
    </row>
    <row r="10" customFormat="false" ht="15" hidden="false" customHeight="false" outlineLevel="0" collapsed="false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26</v>
      </c>
      <c r="I10" s="2" t="s">
        <v>26</v>
      </c>
      <c r="J10" s="2" t="s">
        <v>75</v>
      </c>
      <c r="K10" s="2" t="s">
        <v>53</v>
      </c>
      <c r="L10" s="2" t="n">
        <v>40000</v>
      </c>
      <c r="M10" s="2" t="n">
        <v>40000</v>
      </c>
      <c r="N10" s="2" t="n">
        <v>1</v>
      </c>
      <c r="O10" s="2" t="n">
        <v>40000</v>
      </c>
      <c r="P10" s="2" t="n">
        <f aca="false">M10*N10</f>
        <v>40000</v>
      </c>
      <c r="Q10" s="2" t="n">
        <f aca="false">O10-P10</f>
        <v>0</v>
      </c>
      <c r="R10" s="2"/>
    </row>
    <row r="11" customFormat="false" ht="15" hidden="false" customHeight="false" outlineLevel="0" collapsed="false">
      <c r="A11" s="2" t="s">
        <v>76</v>
      </c>
      <c r="B11" s="2" t="s">
        <v>77</v>
      </c>
      <c r="C11" s="2" t="s">
        <v>40</v>
      </c>
      <c r="D11" s="2" t="s">
        <v>78</v>
      </c>
      <c r="E11" s="2" t="s">
        <v>72</v>
      </c>
      <c r="F11" s="2" t="s">
        <v>65</v>
      </c>
      <c r="G11" s="2" t="s">
        <v>74</v>
      </c>
      <c r="H11" s="2" t="s">
        <v>26</v>
      </c>
      <c r="I11" s="2" t="s">
        <v>26</v>
      </c>
      <c r="J11" s="2" t="s">
        <v>79</v>
      </c>
      <c r="K11" s="2" t="s">
        <v>37</v>
      </c>
      <c r="L11" s="2" t="n">
        <v>25000</v>
      </c>
      <c r="M11" s="2" t="n">
        <v>25000</v>
      </c>
      <c r="N11" s="2" t="n">
        <v>1</v>
      </c>
      <c r="O11" s="2" t="n">
        <v>25000</v>
      </c>
      <c r="P11" s="2" t="n">
        <f aca="false">M11*N11</f>
        <v>25000</v>
      </c>
      <c r="Q11" s="2" t="n">
        <f aca="false">O11-P11</f>
        <v>0</v>
      </c>
      <c r="R11" s="2"/>
    </row>
    <row r="12" customFormat="false" ht="15" hidden="false" customHeight="false" outlineLevel="0" collapsed="false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64</v>
      </c>
      <c r="F12" s="2" t="s">
        <v>65</v>
      </c>
      <c r="G12" s="2" t="s">
        <v>66</v>
      </c>
      <c r="H12" s="2" t="s">
        <v>26</v>
      </c>
      <c r="I12" s="2" t="s">
        <v>26</v>
      </c>
      <c r="J12" s="2" t="s">
        <v>84</v>
      </c>
      <c r="K12" s="2" t="s">
        <v>37</v>
      </c>
      <c r="L12" s="2" t="n">
        <v>150000</v>
      </c>
      <c r="M12" s="2" t="n">
        <v>150000</v>
      </c>
      <c r="N12" s="2" t="n">
        <v>2</v>
      </c>
      <c r="O12" s="2" t="n">
        <v>300000</v>
      </c>
      <c r="P12" s="2" t="n">
        <f aca="false">M12*N12</f>
        <v>300000</v>
      </c>
      <c r="Q12" s="2" t="n">
        <f aca="false">O12-P12</f>
        <v>0</v>
      </c>
      <c r="R12" s="2" t="s">
        <v>29</v>
      </c>
    </row>
    <row r="13" customFormat="false" ht="15" hidden="false" customHeight="false" outlineLevel="0" collapsed="false">
      <c r="A13" s="2" t="s">
        <v>85</v>
      </c>
      <c r="B13" s="2" t="s">
        <v>86</v>
      </c>
      <c r="C13" s="2" t="s">
        <v>82</v>
      </c>
      <c r="D13" s="2" t="s">
        <v>83</v>
      </c>
      <c r="E13" s="2" t="s">
        <v>64</v>
      </c>
      <c r="F13" s="2" t="s">
        <v>34</v>
      </c>
      <c r="G13" s="2" t="s">
        <v>66</v>
      </c>
      <c r="H13" s="2" t="s">
        <v>26</v>
      </c>
      <c r="I13" s="2" t="s">
        <v>26</v>
      </c>
      <c r="J13" s="2" t="s">
        <v>87</v>
      </c>
      <c r="K13" s="2" t="s">
        <v>53</v>
      </c>
      <c r="L13" s="2" t="n">
        <v>90000</v>
      </c>
      <c r="M13" s="2" t="n">
        <v>60000</v>
      </c>
      <c r="N13" s="2" t="n">
        <v>1</v>
      </c>
      <c r="O13" s="2" t="n">
        <v>60000</v>
      </c>
      <c r="P13" s="2" t="n">
        <f aca="false">M13*N13</f>
        <v>60000</v>
      </c>
      <c r="Q13" s="2" t="n">
        <f aca="false">O13-P13</f>
        <v>0</v>
      </c>
      <c r="R13" s="2"/>
    </row>
    <row r="14" customFormat="false" ht="15" hidden="false" customHeight="false" outlineLevel="0" collapsed="false">
      <c r="A14" s="2" t="s">
        <v>88</v>
      </c>
      <c r="B14" s="2" t="s">
        <v>89</v>
      </c>
      <c r="C14" s="2" t="s">
        <v>90</v>
      </c>
      <c r="D14" s="2" t="s">
        <v>91</v>
      </c>
      <c r="E14" s="2" t="s">
        <v>33</v>
      </c>
      <c r="F14" s="2" t="s">
        <v>51</v>
      </c>
      <c r="G14" s="2" t="s">
        <v>35</v>
      </c>
      <c r="H14" s="2" t="s">
        <v>26</v>
      </c>
      <c r="I14" s="2" t="s">
        <v>26</v>
      </c>
      <c r="J14" s="2" t="s">
        <v>92</v>
      </c>
      <c r="K14" s="2" t="s">
        <v>53</v>
      </c>
      <c r="L14" s="2" t="n">
        <v>150000</v>
      </c>
      <c r="M14" s="2" t="n">
        <v>150000</v>
      </c>
      <c r="N14" s="2" t="n">
        <v>2</v>
      </c>
      <c r="O14" s="2" t="n">
        <v>300000</v>
      </c>
      <c r="P14" s="2" t="n">
        <f aca="false">M14*N14</f>
        <v>300000</v>
      </c>
      <c r="Q14" s="2" t="n">
        <f aca="false">O14-P14</f>
        <v>0</v>
      </c>
      <c r="R14" s="2"/>
    </row>
    <row r="15" customFormat="false" ht="15" hidden="false" customHeight="false" outlineLevel="0" collapsed="false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22</v>
      </c>
      <c r="F15" s="2" t="s">
        <v>34</v>
      </c>
      <c r="G15" s="2" t="s">
        <v>24</v>
      </c>
      <c r="H15" s="2" t="s">
        <v>26</v>
      </c>
      <c r="I15" s="2" t="s">
        <v>26</v>
      </c>
      <c r="J15" s="2" t="s">
        <v>97</v>
      </c>
      <c r="K15" s="2" t="s">
        <v>53</v>
      </c>
      <c r="L15" s="2" t="n">
        <v>25000</v>
      </c>
      <c r="M15" s="2" t="n">
        <v>25000</v>
      </c>
      <c r="N15" s="2" t="n">
        <v>1</v>
      </c>
      <c r="O15" s="2" t="n">
        <v>25000</v>
      </c>
      <c r="P15" s="2" t="n">
        <f aca="false">M15*N15</f>
        <v>25000</v>
      </c>
      <c r="Q15" s="2" t="n">
        <f aca="false">O15-P15</f>
        <v>0</v>
      </c>
      <c r="R15" s="2"/>
    </row>
    <row r="16" customFormat="false" ht="15" hidden="false" customHeight="false" outlineLevel="0" collapsed="false">
      <c r="A16" s="2" t="s">
        <v>98</v>
      </c>
      <c r="B16" s="2" t="s">
        <v>99</v>
      </c>
      <c r="C16" s="2" t="s">
        <v>71</v>
      </c>
      <c r="D16" s="2" t="s">
        <v>100</v>
      </c>
      <c r="E16" s="2" t="s">
        <v>22</v>
      </c>
      <c r="F16" s="2" t="s">
        <v>23</v>
      </c>
      <c r="G16" s="2" t="s">
        <v>24</v>
      </c>
      <c r="H16" s="2" t="s">
        <v>26</v>
      </c>
      <c r="I16" s="2" t="s">
        <v>26</v>
      </c>
      <c r="J16" s="2" t="s">
        <v>101</v>
      </c>
      <c r="K16" s="2" t="s">
        <v>53</v>
      </c>
      <c r="L16" s="2" t="n">
        <v>85000</v>
      </c>
      <c r="M16" s="2" t="n">
        <v>85000</v>
      </c>
      <c r="N16" s="2" t="n">
        <v>1</v>
      </c>
      <c r="O16" s="2" t="n">
        <v>105000</v>
      </c>
      <c r="P16" s="2" t="n">
        <f aca="false">M16*N16</f>
        <v>85000</v>
      </c>
      <c r="Q16" s="2" t="n">
        <f aca="false">O16-P16</f>
        <v>20000</v>
      </c>
      <c r="R16" s="2"/>
    </row>
    <row r="17" customFormat="false" ht="15" hidden="false" customHeight="false" outlineLevel="0" collapsed="false">
      <c r="A17" s="2" t="s">
        <v>102</v>
      </c>
      <c r="B17" s="2" t="s">
        <v>103</v>
      </c>
      <c r="C17" s="2" t="s">
        <v>104</v>
      </c>
      <c r="D17" s="2" t="s">
        <v>105</v>
      </c>
      <c r="E17" s="2" t="s">
        <v>106</v>
      </c>
      <c r="F17" s="2" t="s">
        <v>43</v>
      </c>
      <c r="G17" s="2" t="s">
        <v>107</v>
      </c>
      <c r="H17" s="2" t="s">
        <v>26</v>
      </c>
      <c r="I17" s="2" t="s">
        <v>26</v>
      </c>
      <c r="J17" s="2" t="s">
        <v>108</v>
      </c>
      <c r="K17" s="2" t="s">
        <v>37</v>
      </c>
      <c r="L17" s="2" t="n">
        <v>40000</v>
      </c>
      <c r="M17" s="2" t="n">
        <v>40000</v>
      </c>
      <c r="N17" s="2" t="n">
        <v>1</v>
      </c>
      <c r="O17" s="2" t="n">
        <v>40000</v>
      </c>
      <c r="P17" s="2" t="n">
        <f aca="false">M17*N17</f>
        <v>40000</v>
      </c>
      <c r="Q17" s="2" t="n">
        <f aca="false">O17-P17</f>
        <v>0</v>
      </c>
      <c r="R17" s="2"/>
    </row>
    <row r="18" customFormat="false" ht="15" hidden="false" customHeight="false" outlineLevel="0" collapsed="false">
      <c r="A18" s="2" t="s">
        <v>109</v>
      </c>
      <c r="B18" s="2" t="s">
        <v>110</v>
      </c>
      <c r="C18" s="2" t="s">
        <v>111</v>
      </c>
      <c r="D18" s="2" t="s">
        <v>112</v>
      </c>
      <c r="E18" s="2" t="s">
        <v>42</v>
      </c>
      <c r="F18" s="2" t="s">
        <v>43</v>
      </c>
      <c r="G18" s="2" t="s">
        <v>44</v>
      </c>
      <c r="H18" s="2" t="s">
        <v>26</v>
      </c>
      <c r="I18" s="2" t="s">
        <v>26</v>
      </c>
      <c r="J18" s="2" t="s">
        <v>113</v>
      </c>
      <c r="K18" s="2" t="s">
        <v>53</v>
      </c>
      <c r="L18" s="2" t="n">
        <v>25000</v>
      </c>
      <c r="M18" s="2" t="n">
        <v>25000</v>
      </c>
      <c r="N18" s="2" t="n">
        <v>1</v>
      </c>
      <c r="O18" s="2" t="n">
        <v>25000</v>
      </c>
      <c r="P18" s="2" t="n">
        <f aca="false">M18*N18</f>
        <v>25000</v>
      </c>
      <c r="Q18" s="2" t="n">
        <f aca="false">O18-P18</f>
        <v>0</v>
      </c>
      <c r="R18" s="2" t="s">
        <v>29</v>
      </c>
    </row>
    <row r="19" customFormat="false" ht="15" hidden="false" customHeight="false" outlineLevel="0" collapsed="false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42</v>
      </c>
      <c r="F19" s="2" t="s">
        <v>51</v>
      </c>
      <c r="G19" s="2" t="s">
        <v>44</v>
      </c>
      <c r="H19" s="2" t="s">
        <v>26</v>
      </c>
      <c r="I19" s="2" t="s">
        <v>26</v>
      </c>
      <c r="J19" s="2" t="s">
        <v>118</v>
      </c>
      <c r="K19" s="2" t="s">
        <v>28</v>
      </c>
      <c r="L19" s="2" t="n">
        <v>55000</v>
      </c>
      <c r="M19" s="2" t="n">
        <v>25000</v>
      </c>
      <c r="N19" s="2" t="n">
        <v>2</v>
      </c>
      <c r="O19" s="2" t="n">
        <v>50000</v>
      </c>
      <c r="P19" s="2" t="n">
        <f aca="false">M19*N19</f>
        <v>50000</v>
      </c>
      <c r="Q19" s="2" t="n">
        <f aca="false">O19-P19</f>
        <v>0</v>
      </c>
      <c r="R19" s="2"/>
    </row>
    <row r="20" customFormat="false" ht="15" hidden="false" customHeight="false" outlineLevel="0" collapsed="false">
      <c r="A20" s="2" t="s">
        <v>119</v>
      </c>
      <c r="B20" s="2" t="s">
        <v>48</v>
      </c>
      <c r="C20" s="2" t="s">
        <v>120</v>
      </c>
      <c r="D20" s="2" t="s">
        <v>121</v>
      </c>
      <c r="E20" s="2" t="s">
        <v>64</v>
      </c>
      <c r="F20" s="2" t="s">
        <v>34</v>
      </c>
      <c r="G20" s="2" t="s">
        <v>66</v>
      </c>
      <c r="H20" s="2" t="s">
        <v>26</v>
      </c>
      <c r="I20" s="2" t="s">
        <v>25</v>
      </c>
      <c r="J20" s="2"/>
      <c r="K20" s="2" t="s">
        <v>28</v>
      </c>
      <c r="L20" s="2" t="n">
        <v>120000</v>
      </c>
      <c r="M20" s="2" t="n">
        <v>120000</v>
      </c>
      <c r="N20" s="2" t="n">
        <v>2</v>
      </c>
      <c r="O20" s="2" t="n">
        <v>240000</v>
      </c>
      <c r="P20" s="2" t="n">
        <f aca="false">M20*N20</f>
        <v>240000</v>
      </c>
      <c r="Q20" s="2" t="n">
        <f aca="false">O20-P20</f>
        <v>0</v>
      </c>
      <c r="R20" s="2" t="s">
        <v>54</v>
      </c>
    </row>
    <row r="21" customFormat="false" ht="15" hidden="false" customHeight="false" outlineLevel="0" collapsed="false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26</v>
      </c>
      <c r="I21" s="2" t="s">
        <v>26</v>
      </c>
      <c r="J21" s="2" t="s">
        <v>129</v>
      </c>
      <c r="K21" s="2" t="s">
        <v>37</v>
      </c>
      <c r="L21" s="2" t="n">
        <v>120000</v>
      </c>
      <c r="M21" s="2" t="n">
        <v>120000</v>
      </c>
      <c r="N21" s="2" t="n">
        <v>2</v>
      </c>
      <c r="O21" s="2" t="n">
        <v>240000</v>
      </c>
      <c r="P21" s="2" t="n">
        <f aca="false">M21*N21</f>
        <v>240000</v>
      </c>
      <c r="Q21" s="2" t="n">
        <f aca="false">O21-P21</f>
        <v>0</v>
      </c>
      <c r="R21" s="2"/>
    </row>
    <row r="22" customFormat="false" ht="15" hidden="false" customHeight="false" outlineLevel="0" collapsed="false">
      <c r="A22" s="2" t="s">
        <v>130</v>
      </c>
      <c r="B22" s="2" t="s">
        <v>131</v>
      </c>
      <c r="C22" s="2" t="s">
        <v>131</v>
      </c>
      <c r="D22" s="2" t="s">
        <v>132</v>
      </c>
      <c r="E22" s="2" t="s">
        <v>64</v>
      </c>
      <c r="F22" s="2" t="s">
        <v>51</v>
      </c>
      <c r="G22" s="2" t="s">
        <v>66</v>
      </c>
      <c r="H22" s="2" t="s">
        <v>26</v>
      </c>
      <c r="I22" s="2" t="s">
        <v>26</v>
      </c>
      <c r="J22" s="2" t="s">
        <v>133</v>
      </c>
      <c r="K22" s="2" t="s">
        <v>37</v>
      </c>
      <c r="L22" s="2" t="n">
        <v>85000</v>
      </c>
      <c r="M22" s="2" t="n">
        <v>40000</v>
      </c>
      <c r="N22" s="2" t="n">
        <v>3</v>
      </c>
      <c r="O22" s="2" t="n">
        <v>120000</v>
      </c>
      <c r="P22" s="2" t="n">
        <f aca="false">M22*N22</f>
        <v>120000</v>
      </c>
      <c r="Q22" s="2" t="n">
        <f aca="false">O22-P22</f>
        <v>0</v>
      </c>
      <c r="R22" s="2"/>
    </row>
    <row r="23" customFormat="false" ht="15" hidden="false" customHeight="false" outlineLevel="0" collapsed="false">
      <c r="A23" s="2" t="s">
        <v>134</v>
      </c>
      <c r="B23" s="2" t="s">
        <v>135</v>
      </c>
      <c r="C23" s="2" t="s">
        <v>135</v>
      </c>
      <c r="D23" s="2" t="s">
        <v>136</v>
      </c>
      <c r="E23" s="2" t="s">
        <v>33</v>
      </c>
      <c r="F23" s="2" t="s">
        <v>127</v>
      </c>
      <c r="G23" s="2" t="s">
        <v>35</v>
      </c>
      <c r="H23" s="2" t="s">
        <v>26</v>
      </c>
      <c r="I23" s="2" t="s">
        <v>26</v>
      </c>
      <c r="J23" s="2" t="s">
        <v>137</v>
      </c>
      <c r="K23" s="2" t="s">
        <v>53</v>
      </c>
      <c r="L23" s="2" t="n">
        <v>60000</v>
      </c>
      <c r="M23" s="2" t="n">
        <v>60000</v>
      </c>
      <c r="N23" s="2" t="n">
        <v>1</v>
      </c>
      <c r="O23" s="2" t="n">
        <v>60000</v>
      </c>
      <c r="P23" s="2" t="n">
        <f aca="false">M23*N23</f>
        <v>60000</v>
      </c>
      <c r="Q23" s="2" t="n">
        <f aca="false">O23-P23</f>
        <v>0</v>
      </c>
      <c r="R23" s="2"/>
    </row>
    <row r="24" customFormat="false" ht="15" hidden="false" customHeight="false" outlineLevel="0" collapsed="false">
      <c r="A24" s="2" t="s">
        <v>138</v>
      </c>
      <c r="B24" s="2" t="s">
        <v>139</v>
      </c>
      <c r="C24" s="2" t="s">
        <v>140</v>
      </c>
      <c r="D24" s="2" t="s">
        <v>96</v>
      </c>
      <c r="E24" s="2" t="s">
        <v>42</v>
      </c>
      <c r="F24" s="2" t="s">
        <v>73</v>
      </c>
      <c r="G24" s="2" t="s">
        <v>44</v>
      </c>
      <c r="H24" s="2" t="s">
        <v>26</v>
      </c>
      <c r="I24" s="2" t="s">
        <v>26</v>
      </c>
      <c r="J24" s="2" t="s">
        <v>141</v>
      </c>
      <c r="K24" s="2" t="s">
        <v>53</v>
      </c>
      <c r="L24" s="2" t="n">
        <v>115000</v>
      </c>
      <c r="M24" s="2" t="n">
        <v>85000</v>
      </c>
      <c r="N24" s="2" t="n">
        <v>1</v>
      </c>
      <c r="O24" s="2" t="n">
        <v>85000</v>
      </c>
      <c r="P24" s="2" t="n">
        <f aca="false">M24*N24</f>
        <v>85000</v>
      </c>
      <c r="Q24" s="2" t="n">
        <f aca="false">O24-P24</f>
        <v>0</v>
      </c>
      <c r="R24" s="2"/>
    </row>
    <row r="25" customFormat="false" ht="15" hidden="false" customHeight="false" outlineLevel="0" collapsed="false">
      <c r="A25" s="2" t="s">
        <v>142</v>
      </c>
      <c r="B25" s="2" t="s">
        <v>143</v>
      </c>
      <c r="C25" s="2" t="s">
        <v>144</v>
      </c>
      <c r="D25" s="2" t="s">
        <v>145</v>
      </c>
      <c r="E25" s="2" t="s">
        <v>126</v>
      </c>
      <c r="F25" s="2" t="s">
        <v>23</v>
      </c>
      <c r="G25" s="2" t="s">
        <v>128</v>
      </c>
      <c r="H25" s="2" t="s">
        <v>26</v>
      </c>
      <c r="I25" s="2" t="s">
        <v>26</v>
      </c>
      <c r="J25" s="2" t="s">
        <v>146</v>
      </c>
      <c r="K25" s="2" t="s">
        <v>28</v>
      </c>
      <c r="L25" s="2" t="n">
        <v>85000</v>
      </c>
      <c r="M25" s="2" t="n">
        <v>85000</v>
      </c>
      <c r="N25" s="2" t="n">
        <v>2</v>
      </c>
      <c r="O25" s="2" t="n">
        <v>170000</v>
      </c>
      <c r="P25" s="2" t="n">
        <f aca="false">M25*N25</f>
        <v>170000</v>
      </c>
      <c r="Q25" s="2" t="n">
        <f aca="false">O25-P25</f>
        <v>0</v>
      </c>
      <c r="R25" s="2"/>
    </row>
    <row r="26" customFormat="false" ht="15" hidden="false" customHeight="false" outlineLevel="0" collapsed="false">
      <c r="A26" s="2" t="s">
        <v>147</v>
      </c>
      <c r="B26" s="2" t="s">
        <v>148</v>
      </c>
      <c r="C26" s="2" t="s">
        <v>149</v>
      </c>
      <c r="D26" s="2" t="s">
        <v>150</v>
      </c>
      <c r="E26" s="2" t="s">
        <v>126</v>
      </c>
      <c r="F26" s="2" t="s">
        <v>127</v>
      </c>
      <c r="G26" s="2" t="s">
        <v>128</v>
      </c>
      <c r="H26" s="2" t="s">
        <v>26</v>
      </c>
      <c r="I26" s="2" t="s">
        <v>26</v>
      </c>
      <c r="J26" s="2" t="s">
        <v>151</v>
      </c>
      <c r="K26" s="2" t="s">
        <v>28</v>
      </c>
      <c r="L26" s="2" t="n">
        <v>25000</v>
      </c>
      <c r="M26" s="2" t="n">
        <v>25000</v>
      </c>
      <c r="N26" s="2" t="n">
        <v>1</v>
      </c>
      <c r="O26" s="2" t="n">
        <v>25000</v>
      </c>
      <c r="P26" s="2" t="n">
        <f aca="false">M26*N26</f>
        <v>25000</v>
      </c>
      <c r="Q26" s="2" t="n">
        <f aca="false">O26-P26</f>
        <v>0</v>
      </c>
      <c r="R26" s="2"/>
    </row>
    <row r="27" customFormat="false" ht="15" hidden="false" customHeight="false" outlineLevel="0" collapsed="false">
      <c r="A27" s="2" t="s">
        <v>152</v>
      </c>
      <c r="B27" s="2" t="s">
        <v>153</v>
      </c>
      <c r="C27" s="2" t="s">
        <v>140</v>
      </c>
      <c r="D27" s="2" t="s">
        <v>154</v>
      </c>
      <c r="E27" s="2" t="s">
        <v>42</v>
      </c>
      <c r="F27" s="2" t="s">
        <v>51</v>
      </c>
      <c r="G27" s="2" t="s">
        <v>44</v>
      </c>
      <c r="H27" s="2" t="s">
        <v>26</v>
      </c>
      <c r="I27" s="2" t="s">
        <v>26</v>
      </c>
      <c r="J27" s="2" t="s">
        <v>155</v>
      </c>
      <c r="K27" s="2" t="s">
        <v>53</v>
      </c>
      <c r="L27" s="2" t="n">
        <v>85000</v>
      </c>
      <c r="M27" s="2" t="n">
        <v>85000</v>
      </c>
      <c r="N27" s="2" t="n">
        <v>1</v>
      </c>
      <c r="O27" s="2" t="n">
        <v>85000</v>
      </c>
      <c r="P27" s="2" t="n">
        <f aca="false">M27*N27</f>
        <v>85000</v>
      </c>
      <c r="Q27" s="2" t="n">
        <f aca="false">O27-P27</f>
        <v>0</v>
      </c>
      <c r="R27" s="2"/>
    </row>
    <row r="28" customFormat="false" ht="15" hidden="false" customHeight="false" outlineLevel="0" collapsed="false">
      <c r="A28" s="2" t="s">
        <v>156</v>
      </c>
      <c r="B28" s="2" t="s">
        <v>157</v>
      </c>
      <c r="C28" s="2" t="s">
        <v>157</v>
      </c>
      <c r="D28" s="2" t="s">
        <v>158</v>
      </c>
      <c r="E28" s="2" t="s">
        <v>42</v>
      </c>
      <c r="F28" s="2" t="s">
        <v>43</v>
      </c>
      <c r="G28" s="2" t="s">
        <v>44</v>
      </c>
      <c r="H28" s="2" t="s">
        <v>26</v>
      </c>
      <c r="I28" s="2" t="s">
        <v>26</v>
      </c>
      <c r="J28" s="2" t="s">
        <v>159</v>
      </c>
      <c r="K28" s="2" t="s">
        <v>37</v>
      </c>
      <c r="L28" s="2" t="n">
        <v>25000</v>
      </c>
      <c r="M28" s="2" t="n">
        <v>25000</v>
      </c>
      <c r="N28" s="2" t="n">
        <v>1</v>
      </c>
      <c r="O28" s="2" t="n">
        <v>25000</v>
      </c>
      <c r="P28" s="2" t="n">
        <f aca="false">M28*N28</f>
        <v>25000</v>
      </c>
      <c r="Q28" s="2" t="n">
        <f aca="false">O28-P28</f>
        <v>0</v>
      </c>
      <c r="R28" s="2"/>
    </row>
    <row r="29" customFormat="false" ht="15" hidden="false" customHeight="false" outlineLevel="0" collapsed="false">
      <c r="A29" s="2" t="s">
        <v>160</v>
      </c>
      <c r="B29" s="2" t="s">
        <v>47</v>
      </c>
      <c r="C29" s="2" t="s">
        <v>120</v>
      </c>
      <c r="D29" s="2" t="s">
        <v>161</v>
      </c>
      <c r="E29" s="2" t="s">
        <v>64</v>
      </c>
      <c r="F29" s="2" t="s">
        <v>73</v>
      </c>
      <c r="G29" s="2" t="s">
        <v>66</v>
      </c>
      <c r="H29" s="2" t="s">
        <v>26</v>
      </c>
      <c r="I29" s="2" t="s">
        <v>26</v>
      </c>
      <c r="J29" s="2" t="s">
        <v>162</v>
      </c>
      <c r="K29" s="2" t="s">
        <v>37</v>
      </c>
      <c r="L29" s="2" t="n">
        <v>85000</v>
      </c>
      <c r="M29" s="2" t="n">
        <v>85000</v>
      </c>
      <c r="N29" s="2" t="n">
        <v>1</v>
      </c>
      <c r="O29" s="2" t="n">
        <v>85000</v>
      </c>
      <c r="P29" s="2" t="n">
        <f aca="false">M29*N29</f>
        <v>85000</v>
      </c>
      <c r="Q29" s="2" t="n">
        <f aca="false">O29-P29</f>
        <v>0</v>
      </c>
      <c r="R29" s="2" t="s">
        <v>29</v>
      </c>
    </row>
    <row r="30" customFormat="false" ht="15" hidden="false" customHeight="false" outlineLevel="0" collapsed="false">
      <c r="A30" s="2" t="s">
        <v>163</v>
      </c>
      <c r="B30" s="2" t="s">
        <v>164</v>
      </c>
      <c r="C30" s="2" t="s">
        <v>165</v>
      </c>
      <c r="D30" s="2" t="s">
        <v>166</v>
      </c>
      <c r="E30" s="2" t="s">
        <v>22</v>
      </c>
      <c r="F30" s="2" t="s">
        <v>23</v>
      </c>
      <c r="G30" s="2" t="s">
        <v>24</v>
      </c>
      <c r="H30" s="2" t="s">
        <v>26</v>
      </c>
      <c r="I30" s="2" t="s">
        <v>25</v>
      </c>
      <c r="J30" s="2"/>
      <c r="K30" s="2" t="s">
        <v>53</v>
      </c>
      <c r="L30" s="2" t="n">
        <v>150000</v>
      </c>
      <c r="M30" s="2" t="n">
        <v>150000</v>
      </c>
      <c r="N30" s="2" t="n">
        <v>3</v>
      </c>
      <c r="O30" s="2" t="n">
        <v>450000</v>
      </c>
      <c r="P30" s="2" t="n">
        <f aca="false">M30*N30</f>
        <v>450000</v>
      </c>
      <c r="Q30" s="2" t="n">
        <f aca="false">O30-P30</f>
        <v>0</v>
      </c>
      <c r="R30" s="2" t="s">
        <v>54</v>
      </c>
    </row>
    <row r="31" customFormat="false" ht="15" hidden="false" customHeight="false" outlineLevel="0" collapsed="false">
      <c r="A31" s="2" t="s">
        <v>167</v>
      </c>
      <c r="B31" s="2" t="s">
        <v>168</v>
      </c>
      <c r="C31" s="2" t="s">
        <v>169</v>
      </c>
      <c r="D31" s="2" t="s">
        <v>170</v>
      </c>
      <c r="E31" s="2" t="s">
        <v>50</v>
      </c>
      <c r="F31" s="2" t="s">
        <v>23</v>
      </c>
      <c r="G31" s="2" t="s">
        <v>52</v>
      </c>
      <c r="H31" s="2" t="s">
        <v>25</v>
      </c>
      <c r="I31" s="2" t="s">
        <v>26</v>
      </c>
      <c r="J31" s="2" t="s">
        <v>171</v>
      </c>
      <c r="K31" s="2" t="s">
        <v>53</v>
      </c>
      <c r="L31" s="2" t="n">
        <v>120000</v>
      </c>
      <c r="M31" s="2" t="n">
        <v>120000</v>
      </c>
      <c r="N31" s="2" t="n">
        <v>3</v>
      </c>
      <c r="O31" s="2" t="n">
        <v>360000</v>
      </c>
      <c r="P31" s="2" t="n">
        <f aca="false">M31*N31</f>
        <v>360000</v>
      </c>
      <c r="Q31" s="2" t="n">
        <f aca="false">O31-P31</f>
        <v>0</v>
      </c>
      <c r="R31" s="2" t="s">
        <v>29</v>
      </c>
    </row>
    <row r="32" customFormat="false" ht="15" hidden="false" customHeight="false" outlineLevel="0" collapsed="false">
      <c r="A32" s="2" t="s">
        <v>172</v>
      </c>
      <c r="B32" s="2" t="s">
        <v>173</v>
      </c>
      <c r="C32" s="2" t="s">
        <v>90</v>
      </c>
      <c r="D32" s="2" t="s">
        <v>144</v>
      </c>
      <c r="E32" s="2" t="s">
        <v>50</v>
      </c>
      <c r="F32" s="2" t="s">
        <v>34</v>
      </c>
      <c r="G32" s="2" t="s">
        <v>52</v>
      </c>
      <c r="H32" s="2" t="s">
        <v>26</v>
      </c>
      <c r="I32" s="2" t="s">
        <v>26</v>
      </c>
      <c r="J32" s="2" t="s">
        <v>174</v>
      </c>
      <c r="K32" s="2" t="s">
        <v>37</v>
      </c>
      <c r="L32" s="2" t="n">
        <v>120000</v>
      </c>
      <c r="M32" s="2" t="n">
        <v>120000</v>
      </c>
      <c r="N32" s="2" t="n">
        <v>1</v>
      </c>
      <c r="O32" s="2" t="n">
        <v>120000</v>
      </c>
      <c r="P32" s="2" t="n">
        <f aca="false">M32*N32</f>
        <v>120000</v>
      </c>
      <c r="Q32" s="2" t="n">
        <f aca="false">O32-P32</f>
        <v>0</v>
      </c>
      <c r="R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</cols>
  <sheetData>
    <row r="1" customFormat="false" ht="15" hidden="false" customHeight="false" outlineLevel="0" collapsed="false">
      <c r="A1" s="3" t="s">
        <v>4</v>
      </c>
      <c r="B1" s="3" t="s">
        <v>175</v>
      </c>
    </row>
    <row r="2" customFormat="false" ht="15" hidden="false" customHeight="false" outlineLevel="0" collapsed="false">
      <c r="A2" s="2" t="s">
        <v>50</v>
      </c>
      <c r="B2" s="2" t="s">
        <v>52</v>
      </c>
    </row>
    <row r="3" customFormat="false" ht="15" hidden="false" customHeight="false" outlineLevel="0" collapsed="false">
      <c r="A3" s="2" t="s">
        <v>64</v>
      </c>
      <c r="B3" s="2" t="s">
        <v>66</v>
      </c>
    </row>
    <row r="4" customFormat="false" ht="15" hidden="false" customHeight="false" outlineLevel="0" collapsed="false">
      <c r="A4" s="2" t="s">
        <v>106</v>
      </c>
      <c r="B4" s="2" t="s">
        <v>107</v>
      </c>
    </row>
    <row r="5" customFormat="false" ht="15" hidden="false" customHeight="false" outlineLevel="0" collapsed="false">
      <c r="A5" s="2" t="s">
        <v>72</v>
      </c>
      <c r="B5" s="2" t="s">
        <v>74</v>
      </c>
    </row>
    <row r="6" customFormat="false" ht="15" hidden="false" customHeight="false" outlineLevel="0" collapsed="false">
      <c r="A6" s="2" t="s">
        <v>33</v>
      </c>
      <c r="B6" s="2" t="s">
        <v>35</v>
      </c>
    </row>
    <row r="7" customFormat="false" ht="15" hidden="false" customHeight="false" outlineLevel="0" collapsed="false">
      <c r="A7" s="2" t="s">
        <v>22</v>
      </c>
      <c r="B7" s="2" t="s">
        <v>24</v>
      </c>
    </row>
    <row r="8" customFormat="false" ht="15" hidden="false" customHeight="false" outlineLevel="0" collapsed="false">
      <c r="A8" s="2" t="s">
        <v>42</v>
      </c>
      <c r="B8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4" t="s">
        <v>176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177</v>
      </c>
    </row>
    <row r="4" customFormat="false" ht="15" hidden="false" customHeight="false" outlineLevel="0" collapsed="false">
      <c r="A4" s="2" t="s">
        <v>178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179</v>
      </c>
    </row>
    <row r="7" customFormat="false" ht="15" hidden="false" customHeight="false" outlineLevel="0" collapsed="false">
      <c r="A7" s="2" t="s">
        <v>180</v>
      </c>
    </row>
    <row r="8" customFormat="false" ht="15" hidden="false" customHeight="false" outlineLevel="0" collapsed="false">
      <c r="A8" s="2" t="s">
        <v>181</v>
      </c>
    </row>
    <row r="9" customFormat="false" ht="15" hidden="false" customHeight="false" outlineLevel="0" collapsed="false">
      <c r="A9" s="2" t="s">
        <v>182</v>
      </c>
    </row>
    <row r="10" customFormat="false" ht="15" hidden="false" customHeight="false" outlineLevel="0" collapsed="false">
      <c r="A10" s="2" t="s">
        <v>183</v>
      </c>
    </row>
    <row r="11" customFormat="false" ht="15" hidden="false" customHeight="false" outlineLevel="0" collapsed="false">
      <c r="A11" s="2" t="s">
        <v>184</v>
      </c>
    </row>
    <row r="12" customFormat="false" ht="15" hidden="false" customHeight="false" outlineLevel="0" collapsed="false">
      <c r="A12" s="2" t="s">
        <v>185</v>
      </c>
    </row>
    <row r="13" customFormat="false" ht="15" hidden="false" customHeight="false" outlineLevel="0" collapsed="false">
      <c r="A13" s="2" t="s">
        <v>186</v>
      </c>
    </row>
    <row r="14" customFormat="false" ht="15" hidden="false" customHeight="false" outlineLevel="0" collapsed="false">
      <c r="A14" s="2" t="s">
        <v>187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188</v>
      </c>
    </row>
    <row r="17" customFormat="false" ht="15" hidden="false" customHeight="false" outlineLevel="0" collapsed="false">
      <c r="A17" s="2" t="s">
        <v>189</v>
      </c>
    </row>
    <row r="18" customFormat="false" ht="15" hidden="false" customHeight="false" outlineLevel="0" collapsed="false">
      <c r="A18" s="2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2026-09-11T02:45:05Z</dcterms:created>
  <dc:creator>openpyxl</dc:creator>
  <dc:description/>
  <dc:language>en-US</dc:language>
  <cp:lastModifiedBy/>
  <dcterms:modified xsi:type="dcterms:W3CDTF">2026-09-11T02:45:05Z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